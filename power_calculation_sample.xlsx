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 Calc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<sst xmlns="http://schemas.openxmlformats.org/spreadsheetml/2006/main" count="146" uniqueCount="71">
  <si>
    <t xml:space="preserve">Power Calculation</t>
  </si>
  <si>
    <t xml:space="preserve">Sample 5-18 GHz Receiver</t>
  </si>
  <si>
    <t xml:space="preserve">Date: 19-04-2026</t>
  </si>
  <si>
    <t xml:space="preserve">SI</t>
  </si>
  <si>
    <t xml:space="preserve">Description</t>
  </si>
  <si>
    <t xml:space="preserve">Part No</t>
  </si>
  <si>
    <t xml:space="preserve">Qty</t>
  </si>
  <si>
    <t xml:space="preserve">Power (W)</t>
  </si>
  <si>
    <t xml:space="preserve">Voltage (V)</t>
  </si>
  <si>
    <t xml:space="preserve">5V TYP (mA)</t>
  </si>
  <si>
    <t xml:space="preserve">3.3V TYP (mA)</t>
  </si>
  <si>
    <t xml:space="preserve">2.5V TYP (mA)</t>
  </si>
  <si>
    <t xml:space="preserve">1.8V TYP (mA)</t>
  </si>
  <si>
    <t xml:space="preserve">5V MAX (mA)</t>
  </si>
  <si>
    <t xml:space="preserve">3.3V MAX (mA)</t>
  </si>
  <si>
    <t xml:space="preserve">2.5V MAX (mA)</t>
  </si>
  <si>
    <t xml:space="preserve">1.8V MAX (mA)</t>
  </si>
  <si>
    <t xml:space="preserve">Total TYP (mA)</t>
  </si>
  <si>
    <t xml:space="preserve">Total MAX (mA)</t>
  </si>
  <si>
    <t xml:space="preserve">RF input limiter for ESD protection</t>
  </si>
  <si>
    <t xml:space="preserve">RLM-33+</t>
  </si>
  <si>
    <t xml:space="preserve">—</t>
  </si>
  <si>
    <t xml:space="preserve">2.4 GHz SAW bandpass filter</t>
  </si>
  <si>
    <t xml:space="preserve">B39242B9427</t>
  </si>
  <si>
    <t xml:space="preserve">Wideband GaN HEMT LNA, 2–18 GHz</t>
  </si>
  <si>
    <t xml:space="preserve">QPL9547</t>
  </si>
  <si>
    <t xml:space="preserve">Driver amplifier, high IIP3</t>
  </si>
  <si>
    <t xml:space="preserve">ADL8107</t>
  </si>
  <si>
    <t xml:space="preserve">Output buffer / gain block</t>
  </si>
  <si>
    <t xml:space="preserve">HMC-C070</t>
  </si>
  <si>
    <t xml:space="preserve">I/O expander for control lines</t>
  </si>
  <si>
    <t xml:space="preserve">MCP23017</t>
  </si>
  <si>
    <t xml:space="preserve">SMA RF connector, edge launch</t>
  </si>
  <si>
    <t xml:space="preserve">142-0701-851</t>
  </si>
  <si>
    <t xml:space="preserve">Heat sink for power amplifier</t>
  </si>
  <si>
    <t xml:space="preserve">HS-123</t>
  </si>
  <si>
    <t xml:space="preserve">TOTALS</t>
  </si>
  <si>
    <t xml:space="preserve">Section 2 — Converter / LDO Thermal Analysis</t>
  </si>
  <si>
    <t xml:space="preserve">P_diss = (Vin − Vout) × Iout for LDOs (no switching efficiency). P_diss = Pout × (1 − η)/η for switchers. T_j = T_amb + P_diss × θ_ja at T_amb = 85 °C. Verdict: Pass if T_j &lt; 125 °C, else Thermally Failed.</t>
  </si>
  <si>
    <t xml:space="preserve">Topology</t>
  </si>
  <si>
    <t xml:space="preserve">V_in (V)</t>
  </si>
  <si>
    <t xml:space="preserve">V_out (V)</t>
  </si>
  <si>
    <t xml:space="preserve">I_out (A)</t>
  </si>
  <si>
    <t xml:space="preserve">η</t>
  </si>
  <si>
    <t xml:space="preserve">P_diss (W)</t>
  </si>
  <si>
    <t xml:space="preserve">θ_jc (°C/W)</t>
  </si>
  <si>
    <t xml:space="preserve">θ_ja (°C/W)</t>
  </si>
  <si>
    <t xml:space="preserve">T_j @ 85°C (°C)</t>
  </si>
  <si>
    <t xml:space="preserve">Heatsink?</t>
  </si>
  <si>
    <t xml:space="preserve">Verdict</t>
  </si>
  <si>
    <t xml:space="preserve">ADP7104</t>
  </si>
  <si>
    <t xml:space="preserve">LDO</t>
  </si>
  <si>
    <t xml:space="preserve">N/A (linear)</t>
  </si>
  <si>
    <t xml:space="preserve">no</t>
  </si>
  <si>
    <t xml:space="preserve">Pass</t>
  </si>
  <si>
    <t xml:space="preserve">TPS62913</t>
  </si>
  <si>
    <t xml:space="preserve">Buck</t>
  </si>
  <si>
    <t xml:space="preserve">90%</t>
  </si>
  <si>
    <t xml:space="preserve">Overall thermal verdict:</t>
  </si>
  <si>
    <t xml:space="preserve">Pass — all junctions &lt; 125 °C.</t>
  </si>
  <si>
    <t xml:space="preserve">Section 3 — Power Summary (Load Side)</t>
  </si>
  <si>
    <t xml:space="preserve">Rail</t>
  </si>
  <si>
    <t xml:space="preserve">Typical Current (mA)</t>
  </si>
  <si>
    <t xml:space="preserve">Max Current (mA)</t>
  </si>
  <si>
    <t xml:space="preserve">Typical Power (W)</t>
  </si>
  <si>
    <t xml:space="preserve">Max Power (W)</t>
  </si>
  <si>
    <t xml:space="preserve">5V</t>
  </si>
  <si>
    <t xml:space="preserve">3.3V</t>
  </si>
  <si>
    <t xml:space="preserve">2.5V</t>
  </si>
  <si>
    <t xml:space="preserve">1.8V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</si>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</sst>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220"/>
      <name val="Arial"/>
      <family val="0"/>
      <charset val="1"/>
    </font>
    <font>
      <sz val="11"/>
      <color rgb="FF64748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B1220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1"/>
      <color rgb="FF065F4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220"/>
        <bgColor rgb="FF000000"/>
      </patternFill>
    </fill>
    <fill>
      <patternFill patternType="solid">
        <fgColor rgb="FFEEF5F3"/>
        <bgColor rgb="FFECFDF5"/>
      </patternFill>
    </fill>
    <fill>
      <patternFill patternType="solid">
        <fgColor rgb="FFECFDF5"/>
        <bgColor rgb="FFEEF5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ECFDF5"/>
      <rgbColor rgb="FFEEF5F3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1220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5"/>
    <col collapsed="false" customWidth="true" hidden="false" outlineLevel="0" max="6" min="5" style="0" width="12"/>
    <col collapsed="false" customWidth="true" hidden="false" outlineLevel="0" max="14" min="7" style="0" width="13"/>
    <col collapsed="false" customWidth="true" hidden="false" outlineLevel="0" max="16" min="15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customFormat="false" ht="15" hidden="false" customHeight="false" outlineLevel="0" collapsed="false">
      <c r="A6" s="5" t="n">
        <v>1</v>
      </c>
      <c r="B6" s="5" t="s">
        <v>19</v>
      </c>
      <c r="C6" s="5" t="s">
        <v>20</v>
      </c>
      <c r="D6" s="5" t="n">
        <v>1</v>
      </c>
      <c r="E6" s="5" t="s">
        <v>21</v>
      </c>
      <c r="F6" s="5" t="s">
        <v>21</v>
      </c>
      <c r="G6" s="5" t="s">
        <v>21</v>
      </c>
      <c r="H6" s="5" t="s">
        <v>21</v>
      </c>
      <c r="I6" s="5" t="s">
        <v>21</v>
      </c>
      <c r="J6" s="5" t="s">
        <v>21</v>
      </c>
      <c r="K6" s="5" t="s">
        <v>21</v>
      </c>
      <c r="L6" s="5" t="s">
        <v>21</v>
      </c>
      <c r="M6" s="5" t="s">
        <v>21</v>
      </c>
      <c r="N6" s="5" t="s">
        <v>21</v>
      </c>
      <c r="O6" s="5" t="s">
        <v>21</v>
      </c>
      <c r="P6" s="5" t="s">
        <v>21</v>
      </c>
    </row>
    <row r="7" customFormat="false" ht="15" hidden="false" customHeight="false" outlineLevel="0" collapsed="false">
      <c r="A7" s="5" t="n">
        <v>2</v>
      </c>
      <c r="B7" s="5" t="s">
        <v>22</v>
      </c>
      <c r="C7" s="5" t="s">
        <v>23</v>
      </c>
      <c r="D7" s="5" t="n">
        <v>1</v>
      </c>
      <c r="E7" s="5" t="s">
        <v>21</v>
      </c>
      <c r="F7" s="5" t="s">
        <v>21</v>
      </c>
      <c r="G7" s="5" t="s">
        <v>21</v>
      </c>
      <c r="H7" s="5" t="s">
        <v>21</v>
      </c>
      <c r="I7" s="5" t="s">
        <v>21</v>
      </c>
      <c r="J7" s="5" t="s">
        <v>21</v>
      </c>
      <c r="K7" s="5" t="s">
        <v>21</v>
      </c>
      <c r="L7" s="5" t="s">
        <v>21</v>
      </c>
      <c r="M7" s="5" t="s">
        <v>21</v>
      </c>
      <c r="N7" s="5" t="s">
        <v>21</v>
      </c>
      <c r="O7" s="5" t="s">
        <v>21</v>
      </c>
      <c r="P7" s="5" t="s">
        <v>21</v>
      </c>
    </row>
    <row r="8" customFormat="false" ht="15" hidden="false" customHeight="false" outlineLevel="0" collapsed="false">
      <c r="A8" s="5" t="n">
        <v>3</v>
      </c>
      <c r="B8" s="5" t="s">
        <v>24</v>
      </c>
      <c r="C8" s="5" t="s">
        <v>25</v>
      </c>
      <c r="D8" s="5" t="n">
        <v>1</v>
      </c>
      <c r="E8" s="6" t="n">
        <f aca="false">ROUND(F8*O8/1000,4)</f>
        <v>0.4</v>
      </c>
      <c r="F8" s="7" t="n">
        <v>5</v>
      </c>
      <c r="G8" s="7" t="n">
        <v>80</v>
      </c>
      <c r="H8" s="5" t="s">
        <v>21</v>
      </c>
      <c r="I8" s="5" t="s">
        <v>21</v>
      </c>
      <c r="J8" s="5" t="s">
        <v>21</v>
      </c>
      <c r="K8" s="6" t="n">
        <f aca="false">ROUND(G8*1.3,3)</f>
        <v>104</v>
      </c>
      <c r="L8" s="5" t="s">
        <v>21</v>
      </c>
      <c r="M8" s="5" t="s">
        <v>21</v>
      </c>
      <c r="N8" s="5" t="s">
        <v>21</v>
      </c>
      <c r="O8" s="6" t="n">
        <f aca="false">SUM(G8:J8)</f>
        <v>80</v>
      </c>
      <c r="P8" s="6" t="n">
        <f aca="false">SUM(K8:N8)</f>
        <v>104</v>
      </c>
    </row>
    <row r="9" customFormat="false" ht="15" hidden="false" customHeight="false" outlineLevel="0" collapsed="false">
      <c r="A9" s="5" t="n">
        <v>4</v>
      </c>
      <c r="B9" s="5" t="s">
        <v>26</v>
      </c>
      <c r="C9" s="5" t="s">
        <v>27</v>
      </c>
      <c r="D9" s="5" t="n">
        <v>1</v>
      </c>
      <c r="E9" s="6" t="n">
        <f aca="false">ROUND(F9*O9/1000,4)</f>
        <v>0.3</v>
      </c>
      <c r="F9" s="7" t="n">
        <v>5</v>
      </c>
      <c r="G9" s="7" t="n">
        <v>60</v>
      </c>
      <c r="H9" s="5" t="s">
        <v>21</v>
      </c>
      <c r="I9" s="5" t="s">
        <v>21</v>
      </c>
      <c r="J9" s="5" t="s">
        <v>21</v>
      </c>
      <c r="K9" s="6" t="n">
        <f aca="false">ROUND(G9*1.3,3)</f>
        <v>78</v>
      </c>
      <c r="L9" s="5" t="s">
        <v>21</v>
      </c>
      <c r="M9" s="5" t="s">
        <v>21</v>
      </c>
      <c r="N9" s="5" t="s">
        <v>21</v>
      </c>
      <c r="O9" s="6" t="n">
        <f aca="false">SUM(G9:J9)</f>
        <v>60</v>
      </c>
      <c r="P9" s="6" t="n">
        <f aca="false">SUM(K9:N9)</f>
        <v>78</v>
      </c>
    </row>
    <row r="10" customFormat="false" ht="15" hidden="false" customHeight="false" outlineLevel="0" collapsed="false">
      <c r="A10" s="5" t="n">
        <v>5</v>
      </c>
      <c r="B10" s="5" t="s">
        <v>28</v>
      </c>
      <c r="C10" s="5" t="s">
        <v>29</v>
      </c>
      <c r="D10" s="5" t="n">
        <v>1</v>
      </c>
      <c r="E10" s="6" t="n">
        <f aca="false">ROUND(F10*O10/1000,4)</f>
        <v>0.3</v>
      </c>
      <c r="F10" s="7" t="n">
        <v>5</v>
      </c>
      <c r="G10" s="7" t="n">
        <v>60</v>
      </c>
      <c r="H10" s="5" t="s">
        <v>21</v>
      </c>
      <c r="I10" s="5" t="s">
        <v>21</v>
      </c>
      <c r="J10" s="5" t="s">
        <v>21</v>
      </c>
      <c r="K10" s="6" t="n">
        <f aca="false">ROUND(G10*1.3,3)</f>
        <v>78</v>
      </c>
      <c r="L10" s="5" t="s">
        <v>21</v>
      </c>
      <c r="M10" s="5" t="s">
        <v>21</v>
      </c>
      <c r="N10" s="5" t="s">
        <v>21</v>
      </c>
      <c r="O10" s="6" t="n">
        <f aca="false">SUM(G10:J10)</f>
        <v>60</v>
      </c>
      <c r="P10" s="6" t="n">
        <f aca="false">SUM(K10:N10)</f>
        <v>78</v>
      </c>
    </row>
    <row r="11" customFormat="false" ht="15" hidden="false" customHeight="false" outlineLevel="0" collapsed="false">
      <c r="A11" s="5" t="n">
        <v>6</v>
      </c>
      <c r="B11" s="5" t="s">
        <v>30</v>
      </c>
      <c r="C11" s="5" t="s">
        <v>31</v>
      </c>
      <c r="D11" s="5" t="n">
        <v>1</v>
      </c>
      <c r="E11" s="6" t="n">
        <f aca="false">ROUND(F11*O11/1000,4)</f>
        <v>0.0033</v>
      </c>
      <c r="F11" s="7" t="n">
        <v>3.3</v>
      </c>
      <c r="G11" s="5" t="s">
        <v>21</v>
      </c>
      <c r="H11" s="7" t="n">
        <v>1</v>
      </c>
      <c r="I11" s="5" t="s">
        <v>21</v>
      </c>
      <c r="J11" s="5" t="s">
        <v>21</v>
      </c>
      <c r="K11" s="5" t="s">
        <v>21</v>
      </c>
      <c r="L11" s="6" t="n">
        <f aca="false">ROUND(H11*1.3,3)</f>
        <v>1.3</v>
      </c>
      <c r="M11" s="5" t="s">
        <v>21</v>
      </c>
      <c r="N11" s="5" t="s">
        <v>21</v>
      </c>
      <c r="O11" s="6" t="n">
        <f aca="false">SUM(G11:J11)</f>
        <v>1</v>
      </c>
      <c r="P11" s="6" t="n">
        <f aca="false">SUM(K11:N11)</f>
        <v>1.3</v>
      </c>
    </row>
    <row r="12" customFormat="false" ht="15" hidden="false" customHeight="false" outlineLevel="0" collapsed="false">
      <c r="A12" s="5" t="n">
        <v>7</v>
      </c>
      <c r="B12" s="5" t="s">
        <v>32</v>
      </c>
      <c r="C12" s="5" t="s">
        <v>33</v>
      </c>
      <c r="D12" s="5" t="n">
        <v>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</row>
    <row r="13" customFormat="false" ht="15" hidden="false" customHeight="false" outlineLevel="0" collapsed="false">
      <c r="A13" s="5" t="n">
        <v>8</v>
      </c>
      <c r="B13" s="5" t="s">
        <v>34</v>
      </c>
      <c r="C13" s="5" t="s">
        <v>35</v>
      </c>
      <c r="D13" s="5" t="n">
        <v>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  <c r="N13" s="5" t="s">
        <v>21</v>
      </c>
      <c r="O13" s="5" t="s">
        <v>21</v>
      </c>
      <c r="P13" s="5" t="s">
        <v>21</v>
      </c>
    </row>
    <row r="15" customFormat="false" ht="15" hidden="false" customHeight="false" outlineLevel="0" collapsed="false">
      <c r="A15" s="8"/>
      <c r="B15" s="9" t="s">
        <v>36</v>
      </c>
      <c r="C15" s="8"/>
      <c r="D15" s="8"/>
      <c r="E15" s="9" t="n">
        <f aca="false">ROUND((5*G15+3.3*H15+2.5*I15+1.8*J15)/1000,4)</f>
        <v>1.0033</v>
      </c>
      <c r="F15" s="8"/>
      <c r="G15" s="9" t="n">
        <f aca="false">SUM(G8,G9,G10)</f>
        <v>200</v>
      </c>
      <c r="H15" s="9" t="n">
        <f aca="false">SUM(H11)</f>
        <v>1</v>
      </c>
      <c r="I15" s="9" t="n">
        <v>0</v>
      </c>
      <c r="J15" s="9" t="n">
        <v>0</v>
      </c>
      <c r="K15" s="9" t="n">
        <f aca="false">SUM(K8,K9,K10)</f>
        <v>260</v>
      </c>
      <c r="L15" s="9" t="n">
        <f aca="false">SUM(L11)</f>
        <v>1.3</v>
      </c>
      <c r="M15" s="9" t="n">
        <v>0</v>
      </c>
      <c r="N15" s="9" t="n">
        <v>0</v>
      </c>
      <c r="O15" s="9" t="n">
        <f aca="false">G15+H15+I15+J15</f>
        <v>201</v>
      </c>
      <c r="P15" s="9" t="n">
        <f aca="false">K15+L15+M15+N15</f>
        <v>261.3</v>
      </c>
    </row>
    <row r="18" customFormat="false" ht="16.15" hidden="false" customHeight="false" outlineLevel="0" collapsed="false">
      <c r="A18" s="10" t="s">
        <v>37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45" hidden="false" customHeight="true" outlineLevel="0" collapsed="false">
      <c r="A19" s="11" t="s">
        <v>38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27.75" hidden="false" customHeight="true" outlineLevel="0" collapsed="false">
      <c r="A20" s="4" t="s">
        <v>3</v>
      </c>
      <c r="B20" s="4" t="s">
        <v>5</v>
      </c>
      <c r="C20" s="4" t="s">
        <v>39</v>
      </c>
      <c r="D20" s="4" t="s">
        <v>40</v>
      </c>
      <c r="E20" s="4" t="s">
        <v>41</v>
      </c>
      <c r="F20" s="4" t="s">
        <v>42</v>
      </c>
      <c r="G20" s="4" t="s">
        <v>43</v>
      </c>
      <c r="H20" s="4" t="s">
        <v>44</v>
      </c>
      <c r="I20" s="4" t="s">
        <v>45</v>
      </c>
      <c r="J20" s="4" t="s">
        <v>46</v>
      </c>
      <c r="K20" s="4" t="s">
        <v>47</v>
      </c>
      <c r="L20" s="4" t="s">
        <v>48</v>
      </c>
      <c r="M20" s="4" t="s">
        <v>49</v>
      </c>
    </row>
    <row r="21" customFormat="false" ht="15" hidden="false" customHeight="false" outlineLevel="0" collapsed="false">
      <c r="A21" s="5" t="n">
        <v>1</v>
      </c>
      <c r="B21" s="5" t="s">
        <v>50</v>
      </c>
      <c r="C21" s="5" t="s">
        <v>51</v>
      </c>
      <c r="D21" s="7" t="n">
        <v>12</v>
      </c>
      <c r="E21" s="7" t="n">
        <v>3.3</v>
      </c>
      <c r="F21" s="7" t="n">
        <v>0.001</v>
      </c>
      <c r="G21" s="5" t="s">
        <v>52</v>
      </c>
      <c r="H21" s="6" t="n">
        <v>0.009</v>
      </c>
      <c r="I21" s="7" t="n">
        <v>15</v>
      </c>
      <c r="J21" s="7" t="n">
        <v>80</v>
      </c>
      <c r="K21" s="5" t="n">
        <v>85.7</v>
      </c>
      <c r="L21" s="5" t="s">
        <v>53</v>
      </c>
      <c r="M21" s="12" t="s">
        <v>54</v>
      </c>
    </row>
    <row r="22" customFormat="false" ht="15" hidden="false" customHeight="false" outlineLevel="0" collapsed="false">
      <c r="A22" s="5" t="n">
        <v>2</v>
      </c>
      <c r="B22" s="5" t="s">
        <v>55</v>
      </c>
      <c r="C22" s="5" t="s">
        <v>56</v>
      </c>
      <c r="D22" s="7" t="n">
        <v>12</v>
      </c>
      <c r="E22" s="7" t="n">
        <v>5</v>
      </c>
      <c r="F22" s="7" t="n">
        <v>0.2</v>
      </c>
      <c r="G22" s="5" t="s">
        <v>57</v>
      </c>
      <c r="H22" s="6" t="n">
        <v>0.111</v>
      </c>
      <c r="I22" s="7" t="n">
        <v>6</v>
      </c>
      <c r="J22" s="7" t="n">
        <v>30</v>
      </c>
      <c r="K22" s="5" t="n">
        <v>88.3</v>
      </c>
      <c r="L22" s="5" t="s">
        <v>53</v>
      </c>
      <c r="M22" s="12" t="s">
        <v>54</v>
      </c>
    </row>
    <row r="24" customFormat="false" ht="15" hidden="false" customHeight="false" outlineLevel="0" collapsed="false">
      <c r="A24" s="13" t="s">
        <v>58</v>
      </c>
      <c r="B24" s="14" t="s">
        <v>59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7" customFormat="false" ht="16.15" hidden="false" customHeight="false" outlineLevel="0" collapsed="false">
      <c r="A27" s="10" t="s">
        <v>60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Format="false" ht="64.9" hidden="false" customHeight="false" outlineLevel="0" collapsed="false">
      <c r="A28" s="4" t="s">
        <v>61</v>
      </c>
      <c r="B28" s="4" t="s">
        <v>62</v>
      </c>
      <c r="C28" s="4" t="s">
        <v>63</v>
      </c>
      <c r="D28" s="4" t="s">
        <v>64</v>
      </c>
      <c r="E28" s="4" t="s">
        <v>65</v>
      </c>
    </row>
    <row r="29" customFormat="false" ht="15" hidden="false" customHeight="false" outlineLevel="0" collapsed="false">
      <c r="A29" s="5" t="s">
        <v>66</v>
      </c>
      <c r="B29" s="6" t="n">
        <f aca="false">G15</f>
        <v>200</v>
      </c>
      <c r="C29" s="6" t="n">
        <f aca="false">K15</f>
        <v>260</v>
      </c>
      <c r="D29" s="6" t="n">
        <f aca="false">ROUND(5*G15/1000,4)</f>
        <v>1</v>
      </c>
      <c r="E29" s="6" t="n">
        <f aca="false">ROUND(5*K15/1000,4)</f>
        <v>1.3</v>
      </c>
    </row>
    <row r="30" customFormat="false" ht="15" hidden="false" customHeight="false" outlineLevel="0" collapsed="false">
      <c r="A30" s="5" t="s">
        <v>67</v>
      </c>
      <c r="B30" s="6" t="n">
        <f aca="false">H15</f>
        <v>1</v>
      </c>
      <c r="C30" s="6" t="n">
        <f aca="false">L15</f>
        <v>1.3</v>
      </c>
      <c r="D30" s="6" t="n">
        <f aca="false">ROUND(3.3*H15/1000,4)</f>
        <v>0.0033</v>
      </c>
      <c r="E30" s="6" t="n">
        <f aca="false">ROUND(3.3*L15/1000,4)</f>
        <v>0.0043</v>
      </c>
    </row>
    <row r="31" customFormat="false" ht="15" hidden="false" customHeight="false" outlineLevel="0" collapsed="false">
      <c r="A31" s="5" t="s">
        <v>68</v>
      </c>
      <c r="B31" s="6" t="n">
        <f aca="false">I15</f>
        <v>0</v>
      </c>
      <c r="C31" s="6" t="n">
        <f aca="false">M15</f>
        <v>0</v>
      </c>
      <c r="D31" s="6" t="n">
        <f aca="false">ROUND(2.5*I15/1000,4)</f>
        <v>0</v>
      </c>
      <c r="E31" s="6" t="n">
        <f aca="false">ROUND(2.5*M15/1000,4)</f>
        <v>0</v>
      </c>
    </row>
    <row r="32" customFormat="false" ht="15" hidden="false" customHeight="false" outlineLevel="0" collapsed="false">
      <c r="A32" s="5" t="s">
        <v>69</v>
      </c>
      <c r="B32" s="6" t="n">
        <f aca="false">J15</f>
        <v>0</v>
      </c>
      <c r="C32" s="6" t="n">
        <f aca="false">N15</f>
        <v>0</v>
      </c>
      <c r="D32" s="6" t="n">
        <f aca="false">ROUND(1.8*J15/1000,4)</f>
        <v>0</v>
      </c>
      <c r="E32" s="6" t="n">
        <f aca="false">ROUND(1.8*N15/1000,4)</f>
        <v>0</v>
      </c>
    </row>
    <row r="33" customFormat="false" ht="15" hidden="false" customHeight="false" outlineLevel="0" collapsed="false">
      <c r="A33" s="9" t="s">
        <v>70</v>
      </c>
      <c r="B33" s="9" t="n">
        <f aca="false">SUM(B29:B32)</f>
        <v>201</v>
      </c>
      <c r="C33" s="9" t="n">
        <f aca="false">SUM(C29:C32)</f>
        <v>261.3</v>
      </c>
      <c r="D33" s="9" t="n">
        <f aca="false">SUM(D29:D32)</f>
        <v>1.0033</v>
      </c>
      <c r="E33" s="9" t="n">
        <f aca="false">SUM(E29:E32)</f>
        <v>1.3043</v>
      </c>
    </row>
  </sheetData>
  <mergeCells count="4">
    <mergeCell ref="A18:M18"/>
    <mergeCell ref="A19:M19"/>
    <mergeCell ref="B24:M24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2026-04-19T11:03:22Z</dcterms:created>
  <dc:creator>openpyxl</dc:creator>
  <dc:description/>
  <dc:language>en-US</dc:language>
  <cp:lastModifiedBy/>
  <dcterms:modified xsi:type="dcterms:W3CDTF">2026-04-19T11:03:22Z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